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ouison-M\Documents\"/>
    </mc:Choice>
  </mc:AlternateContent>
  <xr:revisionPtr revIDLastSave="0" documentId="8_{86B698C3-25FE-4282-BEC6-15AE92886CA8}" xr6:coauthVersionLast="47" xr6:coauthVersionMax="47" xr10:uidLastSave="{00000000-0000-0000-0000-000000000000}"/>
  <bookViews>
    <workbookView xWindow="-120" yWindow="-120" windowWidth="20730" windowHeight="11160" xr2:uid="{D029C9C5-A2F9-4224-AD90-524ECE551EC7}"/>
  </bookViews>
  <sheets>
    <sheet name="MP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1" l="1"/>
  <c r="C4" i="1"/>
  <c r="C14" i="1"/>
  <c r="C23" i="1"/>
  <c r="C3" i="1"/>
  <c r="C5" i="1"/>
  <c r="C7" i="1"/>
  <c r="C8" i="1"/>
  <c r="C9" i="1"/>
  <c r="C10" i="1"/>
  <c r="C11" i="1"/>
  <c r="C12" i="1"/>
  <c r="C13" i="1"/>
  <c r="C15" i="1"/>
  <c r="C16" i="1"/>
  <c r="C17" i="1"/>
  <c r="C18" i="1"/>
  <c r="C19" i="1"/>
  <c r="C20" i="1"/>
  <c r="C21" i="1"/>
  <c r="C22" i="1"/>
  <c r="C2" i="1"/>
  <c r="R10" i="1"/>
  <c r="R9" i="1"/>
  <c r="H9" i="1"/>
  <c r="I9" i="1"/>
  <c r="J9" i="1"/>
  <c r="K9" i="1"/>
  <c r="K10" i="1" s="1"/>
  <c r="L9" i="1"/>
  <c r="L10" i="1" s="1"/>
  <c r="M9" i="1"/>
  <c r="M10" i="1" s="1"/>
  <c r="N9" i="1"/>
  <c r="N10" i="1" s="1"/>
  <c r="O9" i="1"/>
  <c r="P9" i="1"/>
  <c r="Q9" i="1"/>
  <c r="J10" i="1"/>
  <c r="Q10" i="1"/>
  <c r="P10" i="1"/>
  <c r="O10" i="1"/>
  <c r="I10" i="1"/>
  <c r="H10" i="1"/>
  <c r="G7" i="1" l="1"/>
  <c r="G8" i="1"/>
  <c r="G9" i="1" l="1"/>
  <c r="G10" i="1" s="1"/>
</calcChain>
</file>

<file path=xl/sharedStrings.xml><?xml version="1.0" encoding="utf-8"?>
<sst xmlns="http://schemas.openxmlformats.org/spreadsheetml/2006/main" count="25" uniqueCount="21">
  <si>
    <t>Courant (mA)</t>
  </si>
  <si>
    <t>Tension (V)</t>
  </si>
  <si>
    <t>Puissance (mW)</t>
  </si>
  <si>
    <t>Uoc [V]</t>
  </si>
  <si>
    <t>Voltage at nominal power</t>
  </si>
  <si>
    <t>Umpp [V]</t>
  </si>
  <si>
    <t>Isc [mA]</t>
  </si>
  <si>
    <t>Impp [mA]</t>
  </si>
  <si>
    <t>Current at nominal power</t>
  </si>
  <si>
    <t>Nominal power</t>
  </si>
  <si>
    <t>Pmpp [mW]</t>
  </si>
  <si>
    <t>FF</t>
  </si>
  <si>
    <t>Fill Factor</t>
  </si>
  <si>
    <t>Panneau 1</t>
  </si>
  <si>
    <t>Panneau 2</t>
  </si>
  <si>
    <t>Panneau 3</t>
  </si>
  <si>
    <t>Panneau 4</t>
  </si>
  <si>
    <t>Intérieur</t>
  </si>
  <si>
    <t>Extérieur (bon ensoleillement, 500W/m²)</t>
  </si>
  <si>
    <t>Open-circuit Voltage (tout éteint)</t>
  </si>
  <si>
    <t>Short-circuit current (short et on/off allumé)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</si>
</sst>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2" xfId="0" applyFill="1" applyBorder="1" applyAlignment="1">
      <alignment horizontal="center"/>
    </xf>
    <xf numFmtId="0" fontId="0" fillId="2" borderId="4" xfId="0" applyFill="1" applyBorder="1"/>
    <xf numFmtId="0" fontId="0" fillId="2" borderId="1" xfId="0" applyFill="1" applyBorder="1"/>
    <xf numFmtId="0" fontId="0" fillId="2" borderId="9" xfId="0" applyFill="1" applyBorder="1"/>
    <xf numFmtId="0" fontId="0" fillId="3" borderId="14" xfId="0" applyFill="1" applyBorder="1" applyAlignment="1">
      <alignment horizontal="center"/>
    </xf>
    <xf numFmtId="0" fontId="0" fillId="3" borderId="3" xfId="0" applyFill="1" applyBorder="1"/>
    <xf numFmtId="0" fontId="0" fillId="3" borderId="6" xfId="0" applyFill="1" applyBorder="1"/>
    <xf numFmtId="0" fontId="0" fillId="3" borderId="8" xfId="0" applyFill="1" applyBorder="1"/>
    <xf numFmtId="0" fontId="0" fillId="3" borderId="2" xfId="0" applyFill="1" applyBorder="1" applyAlignment="1">
      <alignment horizontal="center"/>
    </xf>
    <xf numFmtId="0" fontId="0" fillId="3" borderId="4" xfId="0" applyFill="1" applyBorder="1"/>
    <xf numFmtId="0" fontId="0" fillId="3" borderId="1" xfId="0" applyFill="1" applyBorder="1"/>
    <xf numFmtId="0" fontId="0" fillId="3" borderId="9" xfId="0" applyFill="1" applyBorder="1"/>
    <xf numFmtId="0" fontId="0" fillId="4" borderId="15" xfId="0" applyFill="1" applyBorder="1" applyAlignment="1">
      <alignment horizontal="center"/>
    </xf>
    <xf numFmtId="0" fontId="0" fillId="4" borderId="5" xfId="0" applyFill="1" applyBorder="1"/>
    <xf numFmtId="0" fontId="0" fillId="4" borderId="7" xfId="0" applyFill="1" applyBorder="1"/>
    <xf numFmtId="0" fontId="0" fillId="4" borderId="10" xfId="0" applyFill="1" applyBorder="1"/>
    <xf numFmtId="0" fontId="0" fillId="5" borderId="6" xfId="0" applyFill="1" applyBorder="1"/>
    <xf numFmtId="0" fontId="0" fillId="5" borderId="1" xfId="0" applyFill="1" applyBorder="1"/>
    <xf numFmtId="0" fontId="0" fillId="5" borderId="0" xfId="0" applyFill="1"/>
    <xf numFmtId="0" fontId="0" fillId="5" borderId="9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0" xfId="0" applyFill="1" applyAlignment="1">
      <alignment horizontal="center"/>
    </xf>
    <xf numFmtId="0" fontId="0" fillId="6" borderId="20" xfId="0" applyFill="1" applyBorder="1" applyAlignment="1">
      <alignment horizontal="center" vertical="center"/>
    </xf>
    <xf numFmtId="0" fontId="0" fillId="6" borderId="7" xfId="0" applyFill="1" applyBorder="1"/>
    <xf numFmtId="0" fontId="0" fillId="6" borderId="10" xfId="0" applyFill="1" applyBorder="1"/>
    <xf numFmtId="0" fontId="0" fillId="7" borderId="1" xfId="0" applyFill="1" applyBorder="1"/>
    <xf numFmtId="0" fontId="0" fillId="7" borderId="16" xfId="0" applyFill="1" applyBorder="1"/>
    <xf numFmtId="0" fontId="0" fillId="7" borderId="6" xfId="0" applyFill="1" applyBorder="1"/>
    <xf numFmtId="0" fontId="0" fillId="7" borderId="8" xfId="0" applyFill="1" applyBorder="1"/>
    <xf numFmtId="0" fontId="0" fillId="7" borderId="18" xfId="0" applyFill="1" applyBorder="1" applyAlignment="1">
      <alignment horizontal="center" vertical="center"/>
    </xf>
    <xf numFmtId="0" fontId="0" fillId="8" borderId="4" xfId="0" applyFill="1" applyBorder="1"/>
    <xf numFmtId="0" fontId="0" fillId="8" borderId="1" xfId="0" applyFill="1" applyBorder="1"/>
    <xf numFmtId="0" fontId="0" fillId="9" borderId="1" xfId="0" applyFill="1" applyBorder="1"/>
    <xf numFmtId="0" fontId="0" fillId="9" borderId="19" xfId="0" applyFill="1" applyBorder="1" applyAlignment="1">
      <alignment horizontal="center" vertical="center"/>
    </xf>
    <xf numFmtId="0" fontId="0" fillId="9" borderId="17" xfId="0" applyFill="1" applyBorder="1"/>
    <xf numFmtId="0" fontId="0" fillId="9" borderId="9" xfId="0" applyFill="1" applyBorder="1"/>
    <xf numFmtId="164" fontId="1" fillId="10" borderId="1" xfId="0" applyNumberFormat="1" applyFont="1" applyFill="1" applyBorder="1"/>
    <xf numFmtId="2" fontId="1" fillId="10" borderId="9" xfId="0" applyNumberFormat="1" applyFont="1" applyFill="1" applyBorder="1"/>
    <xf numFmtId="0" fontId="1" fillId="10" borderId="6" xfId="0" applyFont="1" applyFill="1" applyBorder="1"/>
    <xf numFmtId="0" fontId="1" fillId="10" borderId="1" xfId="0" applyFont="1" applyFill="1" applyBorder="1"/>
    <xf numFmtId="0" fontId="1" fillId="10" borderId="8" xfId="0" applyFont="1" applyFill="1" applyBorder="1"/>
    <xf numFmtId="0" fontId="1" fillId="10" borderId="9" xfId="0" applyFont="1" applyFill="1" applyBorder="1"/>
    <xf numFmtId="0" fontId="0" fillId="5" borderId="21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2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Courbe de puissance caractéristique P(V)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MPP!$A$2:$A$19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MPP!$C$2:$C$19</c:f>
              <c:numCache>
                <c:formatCode>General</c:formatCode>
                <c:ptCount val="18"/>
                <c:pt idx="0">
                  <c:v>1.5</c:v>
                </c:pt>
                <c:pt idx="1">
                  <c:v>2.48</c:v>
                </c:pt>
                <c:pt idx="2">
                  <c:v>3.0300000000000002</c:v>
                </c:pt>
                <c:pt idx="3">
                  <c:v>3.24</c:v>
                </c:pt>
                <c:pt idx="4">
                  <c:v>3.25</c:v>
                </c:pt>
                <c:pt idx="5">
                  <c:v>3.06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C5-4E71-8BE5-320B96DF0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798959"/>
        <c:axId val="966790319"/>
      </c:scatterChart>
      <c:valAx>
        <c:axId val="966798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Tension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6790319"/>
        <c:crosses val="autoZero"/>
        <c:crossBetween val="midCat"/>
      </c:valAx>
      <c:valAx>
        <c:axId val="96679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puissance nominale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6798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11</xdr:row>
      <xdr:rowOff>133349</xdr:rowOff>
    </xdr:from>
    <xdr:to>
      <xdr:col>9</xdr:col>
      <xdr:colOff>67949</xdr:colOff>
      <xdr:row>26</xdr:row>
      <xdr:rowOff>146324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8325E31-C402-2B75-60F3-881C7FC24E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35BB-B44D-423F-8E03-10E4C2582F30}">
  <dimension ref="A1:R23"/>
  <sheetViews>
    <sheetView tabSelected="1" zoomScale="85" zoomScaleNormal="85" workbookViewId="0">
      <selection activeCell="E30" sqref="E30"/>
    </sheetView>
  </sheetViews>
  <sheetFormatPr baseColWidth="10" defaultColWidth="11.375" defaultRowHeight="14.25"/>
  <cols>
    <col min="1" max="1" width="13.375" style="19" customWidth="1"/>
    <col min="2" max="2" width="14.25" style="19" customWidth="1"/>
    <col min="3" max="3" width="16.125" style="19" customWidth="1"/>
    <col min="4" max="4" width="11.375" style="19"/>
    <col min="5" max="5" width="36.875" style="19" customWidth="1"/>
    <col min="6" max="16384" width="11.375" style="19"/>
  </cols>
  <sheetData>
    <row r="1" spans="1:18" ht="15" thickBot="1">
      <c r="A1" s="34" t="s">
        <v>1</v>
      </c>
      <c r="B1" s="38" t="s">
        <v>0</v>
      </c>
      <c r="C1" s="27" t="s">
        <v>2</v>
      </c>
    </row>
    <row r="2" spans="1:18" ht="15" thickBot="1">
      <c r="A2" s="31">
        <v>1</v>
      </c>
      <c r="B2" s="39">
        <v>1.5</v>
      </c>
      <c r="C2" s="28">
        <f>A2*B2</f>
        <v>1.5</v>
      </c>
    </row>
    <row r="3" spans="1:18">
      <c r="A3" s="32">
        <v>2</v>
      </c>
      <c r="B3" s="37">
        <v>1.24</v>
      </c>
      <c r="C3" s="28">
        <f t="shared" ref="C3:C22" si="0">A3*B3</f>
        <v>2.48</v>
      </c>
      <c r="J3" s="47" t="s">
        <v>18</v>
      </c>
      <c r="K3" s="48"/>
      <c r="L3" s="48"/>
      <c r="M3" s="49"/>
      <c r="N3" s="47" t="s">
        <v>17</v>
      </c>
      <c r="O3" s="48"/>
      <c r="P3" s="48"/>
      <c r="Q3" s="49"/>
    </row>
    <row r="4" spans="1:18" ht="15" thickBot="1">
      <c r="A4" s="32">
        <v>3</v>
      </c>
      <c r="B4" s="37">
        <v>1.01</v>
      </c>
      <c r="C4" s="28">
        <f>A4*B4</f>
        <v>3.0300000000000002</v>
      </c>
      <c r="G4" s="26"/>
      <c r="H4" s="26"/>
      <c r="J4" s="5" t="s">
        <v>13</v>
      </c>
      <c r="K4" s="1" t="s">
        <v>14</v>
      </c>
      <c r="L4" s="9" t="s">
        <v>15</v>
      </c>
      <c r="M4" s="13" t="s">
        <v>16</v>
      </c>
      <c r="N4" s="5" t="s">
        <v>13</v>
      </c>
      <c r="O4" s="1" t="s">
        <v>14</v>
      </c>
      <c r="P4" s="9" t="s">
        <v>15</v>
      </c>
      <c r="Q4" s="13" t="s">
        <v>16</v>
      </c>
    </row>
    <row r="5" spans="1:18">
      <c r="A5" s="32">
        <v>4</v>
      </c>
      <c r="B5" s="37">
        <v>0.81</v>
      </c>
      <c r="C5" s="28">
        <f t="shared" si="0"/>
        <v>3.24</v>
      </c>
      <c r="E5" s="21" t="s">
        <v>19</v>
      </c>
      <c r="F5" s="22" t="s">
        <v>3</v>
      </c>
      <c r="G5" s="35">
        <v>11.94</v>
      </c>
      <c r="H5" s="22">
        <v>23.4</v>
      </c>
      <c r="I5" s="23">
        <v>16.12</v>
      </c>
      <c r="J5" s="6">
        <v>14.35</v>
      </c>
      <c r="K5" s="2">
        <v>4.5999999999999996</v>
      </c>
      <c r="L5" s="10">
        <v>15.4</v>
      </c>
      <c r="M5" s="14">
        <v>11.12</v>
      </c>
      <c r="N5" s="6">
        <v>16.71</v>
      </c>
      <c r="O5" s="2">
        <v>4.5</v>
      </c>
      <c r="P5" s="10">
        <v>16.260000000000002</v>
      </c>
      <c r="Q5" s="14">
        <v>13.11</v>
      </c>
      <c r="R5" s="19">
        <v>16.7</v>
      </c>
    </row>
    <row r="6" spans="1:18">
      <c r="A6" s="32">
        <v>5</v>
      </c>
      <c r="B6" s="37">
        <v>0.65</v>
      </c>
      <c r="C6" s="28">
        <f t="shared" si="0"/>
        <v>3.25</v>
      </c>
      <c r="E6" s="17" t="s">
        <v>20</v>
      </c>
      <c r="F6" s="18" t="s">
        <v>6</v>
      </c>
      <c r="G6" s="36">
        <v>1.8</v>
      </c>
      <c r="H6" s="18">
        <v>87.9</v>
      </c>
      <c r="I6" s="24">
        <v>7.68</v>
      </c>
      <c r="J6" s="7">
        <v>19.100000000000001</v>
      </c>
      <c r="K6" s="3">
        <v>1.7</v>
      </c>
      <c r="L6" s="11">
        <v>6.66</v>
      </c>
      <c r="M6" s="15">
        <v>2.81</v>
      </c>
      <c r="N6" s="7">
        <v>8.2799999999999994</v>
      </c>
      <c r="O6" s="3">
        <v>0.6</v>
      </c>
      <c r="P6" s="11">
        <v>3.75</v>
      </c>
      <c r="Q6" s="15">
        <v>1.73</v>
      </c>
      <c r="R6" s="19">
        <v>8</v>
      </c>
    </row>
    <row r="7" spans="1:18">
      <c r="A7" s="32">
        <v>6</v>
      </c>
      <c r="B7" s="37">
        <v>0.51</v>
      </c>
      <c r="C7" s="28">
        <f t="shared" si="0"/>
        <v>3.06</v>
      </c>
      <c r="E7" s="17" t="s">
        <v>4</v>
      </c>
      <c r="F7" s="18" t="s">
        <v>5</v>
      </c>
      <c r="G7" s="30">
        <f>INDEX(A2:A23, MATCH(MAX(C2:C23), C2:C23, 0))</f>
        <v>5</v>
      </c>
      <c r="H7" s="18">
        <v>17.8</v>
      </c>
      <c r="I7" s="24">
        <v>5.5</v>
      </c>
      <c r="J7" s="7">
        <v>5</v>
      </c>
      <c r="K7" s="3">
        <v>2</v>
      </c>
      <c r="L7" s="11">
        <v>5</v>
      </c>
      <c r="M7" s="15">
        <v>4</v>
      </c>
      <c r="N7" s="7">
        <v>5</v>
      </c>
      <c r="O7" s="3">
        <v>2</v>
      </c>
      <c r="P7" s="11">
        <v>6</v>
      </c>
      <c r="Q7" s="15">
        <v>5</v>
      </c>
      <c r="R7" s="19">
        <v>6</v>
      </c>
    </row>
    <row r="8" spans="1:18">
      <c r="A8" s="32">
        <v>7</v>
      </c>
      <c r="B8" s="37"/>
      <c r="C8" s="28">
        <f t="shared" si="0"/>
        <v>0</v>
      </c>
      <c r="E8" s="17" t="s">
        <v>8</v>
      </c>
      <c r="F8" s="18" t="s">
        <v>7</v>
      </c>
      <c r="G8" s="37">
        <f>INDEX(B2:B23, MATCH(MAX(C2:C23), C2:C23, 0))</f>
        <v>0.65</v>
      </c>
      <c r="H8" s="18">
        <v>76.5</v>
      </c>
      <c r="I8" s="24">
        <v>4.2</v>
      </c>
      <c r="J8" s="7">
        <v>8.84</v>
      </c>
      <c r="K8" s="3">
        <v>0.7</v>
      </c>
      <c r="L8" s="11">
        <v>2.96</v>
      </c>
      <c r="M8" s="15">
        <v>1.32</v>
      </c>
      <c r="N8" s="7">
        <v>4.9800000000000004</v>
      </c>
      <c r="O8" s="3">
        <v>0.253</v>
      </c>
      <c r="P8" s="11">
        <v>1.56</v>
      </c>
      <c r="Q8" s="15">
        <v>0.73</v>
      </c>
      <c r="R8" s="19">
        <v>4.12</v>
      </c>
    </row>
    <row r="9" spans="1:18" ht="15">
      <c r="A9" s="32">
        <v>8</v>
      </c>
      <c r="B9" s="37"/>
      <c r="C9" s="28">
        <f t="shared" si="0"/>
        <v>0</v>
      </c>
      <c r="E9" s="43" t="s">
        <v>9</v>
      </c>
      <c r="F9" s="44" t="s">
        <v>10</v>
      </c>
      <c r="G9" s="41">
        <f>G7*G8</f>
        <v>3.25</v>
      </c>
      <c r="H9" s="18">
        <f>H7*H8</f>
        <v>1361.7</v>
      </c>
      <c r="I9" s="24">
        <f>I7*I8</f>
        <v>23.1</v>
      </c>
      <c r="J9" s="7">
        <f t="shared" ref="J9:M9" si="1">J7*J8</f>
        <v>44.2</v>
      </c>
      <c r="K9" s="3">
        <f>K7*K8</f>
        <v>1.4</v>
      </c>
      <c r="L9" s="11">
        <f t="shared" si="1"/>
        <v>14.8</v>
      </c>
      <c r="M9" s="15">
        <f t="shared" si="1"/>
        <v>5.28</v>
      </c>
      <c r="N9" s="7">
        <f t="shared" ref="N9" si="2">N7*N8</f>
        <v>24.900000000000002</v>
      </c>
      <c r="O9" s="3">
        <f t="shared" ref="O9" si="3">O7*O8</f>
        <v>0.50600000000000001</v>
      </c>
      <c r="P9" s="11">
        <f t="shared" ref="P9" si="4">P7*P8</f>
        <v>9.36</v>
      </c>
      <c r="Q9" s="15">
        <f t="shared" ref="Q9" si="5">Q7*Q8</f>
        <v>3.65</v>
      </c>
      <c r="R9" s="19">
        <f>R7*R8</f>
        <v>24.72</v>
      </c>
    </row>
    <row r="10" spans="1:18" ht="15.75" thickBot="1">
      <c r="A10" s="32">
        <v>9</v>
      </c>
      <c r="B10" s="37"/>
      <c r="C10" s="28">
        <f t="shared" si="0"/>
        <v>0</v>
      </c>
      <c r="E10" s="45" t="s">
        <v>12</v>
      </c>
      <c r="F10" s="46" t="s">
        <v>11</v>
      </c>
      <c r="G10" s="42">
        <f>(G9)/(G5*G6)</f>
        <v>0.15121905825423412</v>
      </c>
      <c r="H10" s="20">
        <f>(H9)/(H5*H6)</f>
        <v>0.6620285289227269</v>
      </c>
      <c r="I10" s="25">
        <f>(I9)/(I5*I6)</f>
        <v>0.186588864764268</v>
      </c>
      <c r="J10" s="8">
        <f t="shared" ref="J10:M10" si="6">(J9)/(J5*J6)</f>
        <v>0.1612638415090209</v>
      </c>
      <c r="K10" s="4">
        <f>(K9)/(K5*K6)</f>
        <v>0.17902813299232737</v>
      </c>
      <c r="L10" s="12">
        <f t="shared" si="6"/>
        <v>0.14430014430014429</v>
      </c>
      <c r="M10" s="16">
        <f t="shared" si="6"/>
        <v>0.16897514017255946</v>
      </c>
      <c r="N10" s="8">
        <f t="shared" ref="N10" si="7">(N9)/(N5*N6)</f>
        <v>0.1799668687499458</v>
      </c>
      <c r="O10" s="4">
        <f t="shared" ref="O10" si="8">(O9)/(O5*O6)</f>
        <v>0.18740740740740744</v>
      </c>
      <c r="P10" s="12">
        <f t="shared" ref="P10" si="9">(P9)/(P5*P6)</f>
        <v>0.15350553505535053</v>
      </c>
      <c r="Q10" s="16">
        <f t="shared" ref="Q10" si="10">(Q9)/(Q5*Q6)</f>
        <v>0.16093261552977695</v>
      </c>
      <c r="R10" s="19">
        <f>R9/(R5*R6)</f>
        <v>0.18502994011976048</v>
      </c>
    </row>
    <row r="11" spans="1:18">
      <c r="A11" s="32">
        <v>10</v>
      </c>
      <c r="B11" s="37"/>
      <c r="C11" s="28">
        <f t="shared" si="0"/>
        <v>0</v>
      </c>
    </row>
    <row r="12" spans="1:18">
      <c r="A12" s="32">
        <v>11</v>
      </c>
      <c r="B12" s="37"/>
      <c r="C12" s="28">
        <f t="shared" si="0"/>
        <v>0</v>
      </c>
    </row>
    <row r="13" spans="1:18">
      <c r="A13" s="32">
        <v>12</v>
      </c>
      <c r="B13" s="37"/>
      <c r="C13" s="28">
        <f t="shared" si="0"/>
        <v>0</v>
      </c>
    </row>
    <row r="14" spans="1:18">
      <c r="A14" s="32">
        <v>13</v>
      </c>
      <c r="B14" s="37"/>
      <c r="C14" s="28">
        <f>A14*B14</f>
        <v>0</v>
      </c>
    </row>
    <row r="15" spans="1:18">
      <c r="A15" s="32">
        <v>14</v>
      </c>
      <c r="B15" s="37"/>
      <c r="C15" s="28">
        <f t="shared" si="0"/>
        <v>0</v>
      </c>
    </row>
    <row r="16" spans="1:18">
      <c r="A16" s="32">
        <v>15</v>
      </c>
      <c r="B16" s="37"/>
      <c r="C16" s="28">
        <f t="shared" si="0"/>
        <v>0</v>
      </c>
    </row>
    <row r="17" spans="1:3">
      <c r="A17" s="32">
        <v>16</v>
      </c>
      <c r="B17" s="37"/>
      <c r="C17" s="28">
        <f t="shared" si="0"/>
        <v>0</v>
      </c>
    </row>
    <row r="18" spans="1:3">
      <c r="A18" s="32">
        <v>17</v>
      </c>
      <c r="B18" s="37"/>
      <c r="C18" s="28">
        <f t="shared" si="0"/>
        <v>0</v>
      </c>
    </row>
    <row r="19" spans="1:3">
      <c r="A19" s="32">
        <v>18</v>
      </c>
      <c r="B19" s="37"/>
      <c r="C19" s="28">
        <f t="shared" si="0"/>
        <v>0</v>
      </c>
    </row>
    <row r="20" spans="1:3">
      <c r="A20" s="32">
        <v>19</v>
      </c>
      <c r="B20" s="37"/>
      <c r="C20" s="28">
        <f t="shared" si="0"/>
        <v>0</v>
      </c>
    </row>
    <row r="21" spans="1:3">
      <c r="A21" s="32">
        <v>20</v>
      </c>
      <c r="B21" s="37"/>
      <c r="C21" s="28">
        <f t="shared" si="0"/>
        <v>0</v>
      </c>
    </row>
    <row r="22" spans="1:3">
      <c r="A22" s="32">
        <v>21</v>
      </c>
      <c r="B22" s="37"/>
      <c r="C22" s="28">
        <f t="shared" si="0"/>
        <v>0</v>
      </c>
    </row>
    <row r="23" spans="1:3" ht="15" thickBot="1">
      <c r="A23" s="33">
        <v>22</v>
      </c>
      <c r="B23" s="40"/>
      <c r="C23" s="29">
        <f>A23*B23</f>
        <v>0</v>
      </c>
    </row>
  </sheetData>
  <mergeCells count="2">
    <mergeCell ref="J3:M3"/>
    <mergeCell ref="N3:Q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MPP</vt:lpstr>
    </vt:vector>
  </TitlesOfParts>
  <Company>ITANCIA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RAMAGET</dc:creator>
  <cp:lastModifiedBy>Louison MALINGE</cp:lastModifiedBy>
  <dcterms:created xsi:type="dcterms:W3CDTF">2025-09-23T10:56:28Z</dcterms:created>
  <dcterms:modified xsi:type="dcterms:W3CDTF">2026-04-22T08:06:07Z</dcterms:modified>
</cp:coreProperties>
</file>